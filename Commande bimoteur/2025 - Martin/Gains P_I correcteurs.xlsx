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 gains" sheetId="1" r:id="rId4"/>
  </sheets>
  <definedNames/>
  <calcPr/>
</workbook>
</file>

<file path=xl/sharedStrings.xml><?xml version="1.0" encoding="utf-8"?>
<sst xmlns="http://schemas.openxmlformats.org/spreadsheetml/2006/main" count="6" uniqueCount="6">
  <si>
    <t>Vitesse</t>
  </si>
  <si>
    <t>Temps de réponse à 63% observé</t>
  </si>
  <si>
    <t>Temps de réponse à 95% cible</t>
  </si>
  <si>
    <t>Erreur statique</t>
  </si>
  <si>
    <t>Gain proportionnel</t>
  </si>
  <si>
    <t>Gain intégral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</si>
</sst>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1" xfId="0" applyAlignment="1" applyBorder="1" applyFont="1" applyNumberFormat="1">
      <alignment readingOrder="0" shrinkToFit="0" vertical="center" wrapText="0"/>
    </xf>
    <xf borderId="5" fillId="0" fontId="1" numFmtId="11" xfId="0" applyAlignment="1" applyBorder="1" applyFont="1" applyNumberFormat="1">
      <alignment shrinkToFit="0" vertical="center" wrapText="0"/>
    </xf>
    <xf borderId="6" fillId="0" fontId="1" numFmtId="11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11" xfId="0" applyAlignment="1" applyBorder="1" applyFont="1" applyNumberFormat="1">
      <alignment readingOrder="0" shrinkToFit="0" vertical="center" wrapText="0"/>
    </xf>
    <xf borderId="8" fillId="0" fontId="1" numFmtId="11" xfId="0" applyAlignment="1" applyBorder="1" applyFont="1" applyNumberFormat="1">
      <alignment shrinkToFit="0" vertical="center" wrapText="0"/>
    </xf>
    <xf borderId="9" fillId="0" fontId="1" numFmtId="11" xfId="0" applyAlignment="1" applyBorder="1" applyFont="1" applyNumberFormat="1">
      <alignment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11" xfId="0" applyAlignment="1" applyBorder="1" applyFont="1" applyNumberFormat="1">
      <alignment readingOrder="0" shrinkToFit="0" vertical="center" wrapText="0"/>
    </xf>
    <xf borderId="11" fillId="0" fontId="1" numFmtId="11" xfId="0" applyAlignment="1" applyBorder="1" applyFont="1" applyNumberFormat="1">
      <alignment shrinkToFit="0" vertical="center" wrapText="0"/>
    </xf>
    <xf borderId="12" fillId="0" fontId="1" numFmtId="11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Calcul gain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'Calcul gains'!$F$1</c:f>
            </c:strRef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5"/>
            <c:marker>
              <c:symbol val="none"/>
            </c:marker>
          </c:dPt>
          <c:trendline>
            <c:name>Courbe de tendance pour Gain proportionnel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0"/>
          </c:trendline>
          <c:xVal>
            <c:numRef>
              <c:f>'Calcul gains'!$A$2:$A$1000</c:f>
            </c:numRef>
          </c:xVal>
          <c:yVal>
            <c:numRef>
              <c:f>'Calcul gains'!$F$2:$F$1000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332342"/>
        <c:axId val="13191883"/>
      </c:scatterChart>
      <c:valAx>
        <c:axId val="6343323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91883"/>
      </c:valAx>
      <c:valAx>
        <c:axId val="1319188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3433234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'Calcul gains'!$E$1</c:f>
            </c:strRef>
          </c:tx>
          <c:spPr>
            <a:ln>
              <a:noFill/>
            </a:ln>
          </c:spPr>
          <c:marker>
            <c:symbol val="x"/>
            <c:size val="10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dPt>
            <c:idx val="6"/>
            <c:marker>
              <c:symbol val="none"/>
            </c:marker>
          </c:dPt>
          <c:trendline>
            <c:name>Courbe de tendance pour Gain proportionnel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0"/>
          </c:trendline>
          <c:xVal>
            <c:numRef>
              <c:f>'Calcul gains'!$A$2:$A$1000</c:f>
            </c:numRef>
          </c:xVal>
          <c:yVal>
            <c:numRef>
              <c:f>'Calcul gains'!$E$2:$E$1000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635250"/>
        <c:axId val="1340127127"/>
      </c:scatterChart>
      <c:valAx>
        <c:axId val="7356352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127127"/>
      </c:valAx>
      <c:valAx>
        <c:axId val="1340127127"/>
        <c:scaling>
          <c:orientation val="minMax"/>
          <c:max val="18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56352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28575</xdr:colOff>
      <xdr:row>0</xdr:row>
      <xdr:rowOff>0</xdr:rowOff>
    </xdr:from>
    <xdr:ext cx="5715000" cy="35337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F9" displayName="Caractéristiques_correcteurs" name="Caractéristiques_correcteurs" id="1">
  <tableColumns count="6">
    <tableColumn name="Vitesse" id="1"/>
    <tableColumn name="Temps de réponse à 63% observé" id="2"/>
    <tableColumn name="Temps de réponse à 95% cible" id="3"/>
    <tableColumn name="Erreur statique" id="4"/>
    <tableColumn name="Gain proportionnel" id="5"/>
    <tableColumn name="Gain intégral" id="6"/>
  </tableColumns>
  <tableStyleInfo name="Calcul gai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38"/>
    <col customWidth="1" min="3" max="3" width="27.88"/>
    <col customWidth="1" min="4" max="4" width="16.38"/>
    <col customWidth="1" min="5" max="5" width="19.25"/>
    <col customWidth="1" min="6" max="6" width="1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>
      <c r="A2" s="5">
        <v>5.0</v>
      </c>
      <c r="B2" s="6">
        <v>0.026</v>
      </c>
      <c r="C2" s="6">
        <v>0.2</v>
      </c>
      <c r="D2" s="7">
        <v>2.27E-4</v>
      </c>
      <c r="E2" s="8">
        <f t="shared" ref="E2:E9" si="1">(3/D2)*B2/C2</f>
        <v>1718.061674</v>
      </c>
      <c r="F2" s="9">
        <f t="shared" ref="F2:F9" si="2">3/(D2*C2)</f>
        <v>66079.29515</v>
      </c>
    </row>
    <row r="3">
      <c r="A3" s="10">
        <v>10.0</v>
      </c>
      <c r="B3" s="11">
        <v>0.052</v>
      </c>
      <c r="C3" s="11">
        <v>0.2</v>
      </c>
      <c r="D3" s="12">
        <v>4.487E-4</v>
      </c>
      <c r="E3" s="13">
        <f t="shared" si="1"/>
        <v>1738.355248</v>
      </c>
      <c r="F3" s="14">
        <f t="shared" si="2"/>
        <v>33429.90862</v>
      </c>
    </row>
    <row r="4">
      <c r="A4" s="5">
        <v>15.0</v>
      </c>
      <c r="B4" s="6">
        <v>0.077</v>
      </c>
      <c r="C4" s="6">
        <v>0.2</v>
      </c>
      <c r="D4" s="7">
        <v>6.604E-4</v>
      </c>
      <c r="E4" s="8">
        <f t="shared" si="1"/>
        <v>1748.940036</v>
      </c>
      <c r="F4" s="9">
        <f t="shared" si="2"/>
        <v>22713.50697</v>
      </c>
    </row>
    <row r="5">
      <c r="A5" s="10">
        <v>20.0</v>
      </c>
      <c r="B5" s="11">
        <v>0.099</v>
      </c>
      <c r="C5" s="11">
        <v>0.2</v>
      </c>
      <c r="D5" s="12">
        <v>8.578E-4</v>
      </c>
      <c r="E5" s="13">
        <f t="shared" si="1"/>
        <v>1731.172768</v>
      </c>
      <c r="F5" s="14">
        <f t="shared" si="2"/>
        <v>17486.59361</v>
      </c>
    </row>
    <row r="6">
      <c r="A6" s="5">
        <v>25.0</v>
      </c>
      <c r="B6" s="6">
        <v>0.118</v>
      </c>
      <c r="C6" s="6">
        <v>0.2</v>
      </c>
      <c r="D6" s="7">
        <v>0.001038</v>
      </c>
      <c r="E6" s="8">
        <f t="shared" si="1"/>
        <v>1705.202312</v>
      </c>
      <c r="F6" s="9">
        <f t="shared" si="2"/>
        <v>14450.86705</v>
      </c>
    </row>
    <row r="7">
      <c r="A7" s="10">
        <v>30.0</v>
      </c>
      <c r="B7" s="11">
        <v>0.133</v>
      </c>
      <c r="C7" s="11">
        <v>0.2</v>
      </c>
      <c r="D7" s="12">
        <v>0.001199</v>
      </c>
      <c r="E7" s="13">
        <f t="shared" si="1"/>
        <v>1663.886572</v>
      </c>
      <c r="F7" s="14">
        <f t="shared" si="2"/>
        <v>12510.42535</v>
      </c>
    </row>
    <row r="8">
      <c r="A8" s="5">
        <v>35.0</v>
      </c>
      <c r="B8" s="6">
        <v>0.146</v>
      </c>
      <c r="C8" s="6">
        <v>0.2</v>
      </c>
      <c r="D8" s="7">
        <v>0.001339</v>
      </c>
      <c r="E8" s="8">
        <f t="shared" si="1"/>
        <v>1635.548917</v>
      </c>
      <c r="F8" s="9">
        <f t="shared" si="2"/>
        <v>11202.38984</v>
      </c>
    </row>
    <row r="9">
      <c r="A9" s="15">
        <v>40.0</v>
      </c>
      <c r="B9" s="16">
        <v>0.155</v>
      </c>
      <c r="C9" s="16">
        <v>0.2</v>
      </c>
      <c r="D9" s="17">
        <v>0.001458</v>
      </c>
      <c r="E9" s="18">
        <f t="shared" si="1"/>
        <v>1594.650206</v>
      </c>
      <c r="F9" s="19">
        <f t="shared" si="2"/>
        <v>10288.06584</v>
      </c>
    </row>
  </sheetData>
  <drawing r:id="rId1"/>
  <tableParts count="1">
    <tablePart r:id="rId3"/>
  </tableParts>
</worksheet>
</file>